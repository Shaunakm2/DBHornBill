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splindia-my.sharepoint.com/personal/gagan_gaggar_imsplgroup_com/Documents/Desktop/"/>
    </mc:Choice>
  </mc:AlternateContent>
  <xr:revisionPtr revIDLastSave="1" documentId="8_{D8AEC31A-2F62-40D5-B8C4-BE0E9F85D9AD}" xr6:coauthVersionLast="47" xr6:coauthVersionMax="47" xr10:uidLastSave="{56AD0C7A-C7B1-4C52-A51F-CF4A6E67EB61}"/>
  <bookViews>
    <workbookView xWindow="-110" yWindow="-110" windowWidth="19420" windowHeight="10300" activeTab="1" xr2:uid="{011AA64C-CFAC-4439-8B80-0E435819F635}"/>
  </bookViews>
  <sheets>
    <sheet name="Dashboard" sheetId="2" r:id="rId1"/>
    <sheet name="Trainer Performanc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5" i="2" l="1"/>
  <c r="B15" i="2"/>
  <c r="C15" i="2"/>
  <c r="D15" i="2"/>
  <c r="E15" i="2"/>
  <c r="F15" i="2"/>
  <c r="G15" i="2"/>
  <c r="B14" i="2"/>
  <c r="C14" i="2"/>
  <c r="D14" i="2"/>
  <c r="E14" i="2"/>
  <c r="F14" i="2"/>
  <c r="A14" i="2"/>
  <c r="A15" i="2"/>
  <c r="J3" i="1"/>
  <c r="J4" i="1"/>
  <c r="J5" i="1"/>
  <c r="J6" i="1"/>
  <c r="J7" i="1"/>
  <c r="J8" i="1"/>
  <c r="J9" i="1"/>
  <c r="J10" i="1"/>
  <c r="J11" i="1"/>
  <c r="J12" i="1"/>
  <c r="J13" i="1"/>
  <c r="J14" i="1"/>
  <c r="J15" i="1"/>
  <c r="J2" i="1"/>
  <c r="I4" i="1"/>
  <c r="I5" i="1"/>
  <c r="I6" i="1"/>
  <c r="I7" i="1"/>
  <c r="I8" i="1"/>
  <c r="I9" i="1"/>
  <c r="I10" i="1"/>
  <c r="I11" i="1"/>
  <c r="I12" i="1"/>
  <c r="I13" i="1"/>
  <c r="I14" i="1"/>
  <c r="I15" i="1"/>
  <c r="I3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2" i="1"/>
  <c r="D5" i="2" l="1"/>
  <c r="G14" i="2"/>
  <c r="A8" i="2"/>
  <c r="I2" i="1"/>
  <c r="J5" i="2" l="1"/>
  <c r="J14" i="2"/>
  <c r="K14" i="2" s="1"/>
  <c r="G5" i="2"/>
  <c r="J16" i="2"/>
  <c r="K16" i="2" s="1"/>
  <c r="J15" i="2"/>
  <c r="K15" i="2" s="1"/>
</calcChain>
</file>

<file path=xl/sharedStrings.xml><?xml version="1.0" encoding="utf-8"?>
<sst xmlns="http://schemas.openxmlformats.org/spreadsheetml/2006/main" count="38" uniqueCount="33">
  <si>
    <t>Trainer Name</t>
  </si>
  <si>
    <t>L1 Score (%)</t>
  </si>
  <si>
    <t>Trainer Effectiveness (%)</t>
  </si>
  <si>
    <t>Rating</t>
  </si>
  <si>
    <t>Nikita</t>
  </si>
  <si>
    <t>July</t>
  </si>
  <si>
    <t>Vandana</t>
  </si>
  <si>
    <t>Attendance</t>
  </si>
  <si>
    <t xml:space="preserve"> Utilization (%)</t>
  </si>
  <si>
    <t>Throughput</t>
  </si>
  <si>
    <t>TOF</t>
  </si>
  <si>
    <t>Month</t>
  </si>
  <si>
    <t>Area of Improvement</t>
  </si>
  <si>
    <t>TRAINER PERFORMANCE DASHBOARD</t>
  </si>
  <si>
    <t>July performance overview | Weighted effectiveness and improvement priorities</t>
  </si>
  <si>
    <t>COMPLETED RECORDS</t>
  </si>
  <si>
    <t>AVG EFFECTIVENESS</t>
  </si>
  <si>
    <t>EFFECTIVE TRAINERS</t>
  </si>
  <si>
    <t>NEEDS IMPROVEMENT</t>
  </si>
  <si>
    <t>Rows with trainer names</t>
  </si>
  <si>
    <t>Weighted score across completed records</t>
  </si>
  <si>
    <t>Meeting effectiveness criteria</t>
  </si>
  <si>
    <t>Below one or more required thresholds</t>
  </si>
  <si>
    <t>TRAINER SCORECARD</t>
  </si>
  <si>
    <t>Trainer</t>
  </si>
  <si>
    <t>L1 Score</t>
  </si>
  <si>
    <t>Utilization</t>
  </si>
  <si>
    <t>Effectiveness</t>
  </si>
  <si>
    <t>Count</t>
  </si>
  <si>
    <t>Share</t>
  </si>
  <si>
    <t>Effective</t>
  </si>
  <si>
    <t>Satisfactory</t>
  </si>
  <si>
    <t>Needs 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</si>
</sst>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9"/>
      <color rgb="FFFFFFFF"/>
      <name val="Aptos Narrow"/>
      <family val="2"/>
      <scheme val="minor"/>
    </font>
    <font>
      <i/>
      <sz val="10"/>
      <color rgb="FF5B6573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0"/>
      <color rgb="FF17365D"/>
      <name val="Aptos Narrow"/>
      <family val="2"/>
      <scheme val="minor"/>
    </font>
    <font>
      <b/>
      <sz val="22"/>
      <color rgb="FF1F2937"/>
      <name val="Aptos Narrow"/>
      <family val="2"/>
      <scheme val="minor"/>
    </font>
    <font>
      <sz val="9"/>
      <color rgb="FF667085"/>
      <name val="Aptos Narrow"/>
      <family val="2"/>
      <scheme val="minor"/>
    </font>
    <font>
      <sz val="11"/>
      <color rgb="FF1F2937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CE8B2"/>
        <bgColor indexed="64"/>
      </patternFill>
    </fill>
    <fill>
      <patternFill patternType="solid">
        <fgColor rgb="FFF4CCCC"/>
        <bgColor indexed="64"/>
      </patternFill>
    </fill>
  </fills>
  <borders count="14">
    <border>
      <left/>
      <right/>
      <top/>
      <bottom/>
      <diagonal/>
    </border>
    <border>
      <left/>
      <right/>
      <top style="thick">
        <color rgb="FF2F75B5"/>
      </top>
      <bottom/>
      <diagonal/>
    </border>
    <border>
      <left/>
      <right/>
      <top/>
      <bottom style="thin">
        <color rgb="FFD0D5DD"/>
      </bottom>
      <diagonal/>
    </border>
    <border>
      <left/>
      <right/>
      <top style="thin">
        <color rgb="FFD0D5DD"/>
      </top>
      <bottom style="thin">
        <color rgb="FFD0D5DD"/>
      </bottom>
      <diagonal/>
    </border>
    <border>
      <left/>
      <right/>
      <top style="thin">
        <color rgb="FFD0D5DD"/>
      </top>
      <bottom/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 style="thin">
        <color rgb="FFE5E7EB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4" borderId="0" xfId="0" applyFill="1"/>
    <xf numFmtId="0" fontId="0" fillId="4" borderId="1" xfId="0" applyFill="1" applyBorder="1"/>
    <xf numFmtId="0" fontId="6" fillId="4" borderId="1" xfId="0" applyFont="1" applyFill="1" applyBorder="1"/>
    <xf numFmtId="0" fontId="7" fillId="4" borderId="0" xfId="0" applyFont="1" applyFill="1"/>
    <xf numFmtId="0" fontId="8" fillId="4" borderId="0" xfId="0" applyFont="1" applyFill="1" applyAlignment="1">
      <alignment wrapText="1"/>
    </xf>
    <xf numFmtId="0" fontId="2" fillId="2" borderId="2" xfId="0" applyFont="1" applyFill="1" applyBorder="1" applyAlignment="1">
      <alignment horizontal="center"/>
    </xf>
    <xf numFmtId="0" fontId="1" fillId="0" borderId="3" xfId="0" applyFont="1" applyBorder="1"/>
    <xf numFmtId="164" fontId="0" fillId="0" borderId="3" xfId="0" applyNumberFormat="1" applyBorder="1" applyAlignment="1">
      <alignment horizontal="right"/>
    </xf>
    <xf numFmtId="0" fontId="1" fillId="0" borderId="4" xfId="0" applyFont="1" applyBorder="1"/>
    <xf numFmtId="164" fontId="0" fillId="0" borderId="4" xfId="0" applyNumberFormat="1" applyBorder="1" applyAlignment="1">
      <alignment horizontal="right"/>
    </xf>
    <xf numFmtId="0" fontId="0" fillId="6" borderId="3" xfId="0" applyFill="1" applyBorder="1"/>
    <xf numFmtId="3" fontId="0" fillId="6" borderId="3" xfId="0" applyNumberFormat="1" applyFill="1" applyBorder="1"/>
    <xf numFmtId="164" fontId="0" fillId="6" borderId="3" xfId="0" applyNumberFormat="1" applyFill="1" applyBorder="1"/>
    <xf numFmtId="0" fontId="0" fillId="7" borderId="3" xfId="0" applyFill="1" applyBorder="1"/>
    <xf numFmtId="3" fontId="0" fillId="7" borderId="3" xfId="0" applyNumberFormat="1" applyFill="1" applyBorder="1"/>
    <xf numFmtId="164" fontId="0" fillId="7" borderId="3" xfId="0" applyNumberFormat="1" applyFill="1" applyBorder="1"/>
    <xf numFmtId="0" fontId="0" fillId="8" borderId="4" xfId="0" applyFill="1" applyBorder="1"/>
    <xf numFmtId="3" fontId="0" fillId="8" borderId="4" xfId="0" applyNumberFormat="1" applyFill="1" applyBorder="1"/>
    <xf numFmtId="164" fontId="0" fillId="8" borderId="4" xfId="0" applyNumberFormat="1" applyFill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10" fontId="0" fillId="0" borderId="9" xfId="0" applyNumberFormat="1" applyBorder="1" applyAlignment="1">
      <alignment horizontal="right" vertical="center" wrapText="1"/>
    </xf>
    <xf numFmtId="10" fontId="1" fillId="0" borderId="9" xfId="0" applyNumberFormat="1" applyFont="1" applyBorder="1" applyAlignment="1">
      <alignment horizontal="right" vertical="center" wrapText="1"/>
    </xf>
    <xf numFmtId="0" fontId="1" fillId="0" borderId="9" xfId="0" applyFont="1" applyBorder="1" applyAlignment="1">
      <alignment vertical="center" wrapText="1"/>
    </xf>
    <xf numFmtId="0" fontId="0" fillId="0" borderId="8" xfId="0" applyBorder="1"/>
    <xf numFmtId="0" fontId="0" fillId="0" borderId="9" xfId="0" applyBorder="1"/>
    <xf numFmtId="10" fontId="0" fillId="0" borderId="9" xfId="0" applyNumberFormat="1" applyBorder="1"/>
    <xf numFmtId="0" fontId="0" fillId="0" borderId="11" xfId="0" applyBorder="1"/>
    <xf numFmtId="0" fontId="0" fillId="0" borderId="12" xfId="0" applyBorder="1"/>
    <xf numFmtId="10" fontId="0" fillId="0" borderId="12" xfId="0" applyNumberFormat="1" applyBorder="1"/>
    <xf numFmtId="10" fontId="1" fillId="0" borderId="12" xfId="0" applyNumberFormat="1" applyFont="1" applyBorder="1" applyAlignment="1">
      <alignment horizontal="right" vertical="center" wrapText="1"/>
    </xf>
    <xf numFmtId="0" fontId="1" fillId="0" borderId="12" xfId="0" applyFont="1" applyBorder="1" applyAlignment="1">
      <alignment vertical="center" wrapText="1"/>
    </xf>
    <xf numFmtId="0" fontId="0" fillId="0" borderId="10" xfId="0" applyBorder="1" applyAlignment="1">
      <alignment wrapText="1"/>
    </xf>
    <xf numFmtId="0" fontId="0" fillId="0" borderId="13" xfId="0" applyBorder="1" applyAlignment="1">
      <alignment wrapText="1"/>
    </xf>
    <xf numFmtId="0" fontId="7" fillId="4" borderId="0" xfId="0" applyFont="1" applyFill="1" applyAlignment="1">
      <alignment vertical="center"/>
    </xf>
    <xf numFmtId="164" fontId="7" fillId="4" borderId="0" xfId="0" applyNumberFormat="1" applyFont="1" applyFill="1" applyAlignment="1">
      <alignment vertical="center"/>
    </xf>
    <xf numFmtId="0" fontId="8" fillId="4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5" borderId="0" xfId="0" applyFont="1" applyFill="1" applyAlignment="1">
      <alignment vertical="center" wrapText="1"/>
    </xf>
    <xf numFmtId="0" fontId="5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Effectiveness by Trainer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Dashboard!$G$13</c:f>
              <c:strCache>
                <c:ptCount val="1"/>
                <c:pt idx="0">
                  <c:v>Effectiveness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Dashboard!$A$14:$A$15</c:f>
              <c:strCache>
                <c:ptCount val="2"/>
                <c:pt idx="0">
                  <c:v>Nikita</c:v>
                </c:pt>
                <c:pt idx="1">
                  <c:v>Vandana</c:v>
                </c:pt>
              </c:strCache>
            </c:strRef>
          </c:cat>
          <c:val>
            <c:numRef>
              <c:f>Dashboard!$G$14:$G$15</c:f>
              <c:numCache>
                <c:formatCode>0.0%</c:formatCode>
                <c:ptCount val="2"/>
                <c:pt idx="0">
                  <c:v>0.94660000000000011</c:v>
                </c:pt>
                <c:pt idx="1">
                  <c:v>0.91892499999999999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6A-4929-9FB6-AE0CFB8F4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3776576"/>
        <c:axId val="1635818640"/>
      </c:barChart>
      <c:catAx>
        <c:axId val="93776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818640"/>
        <c:crosses val="autoZero"/>
        <c:auto val="1"/>
        <c:lblAlgn val="ctr"/>
        <c:lblOffset val="100"/>
        <c:noMultiLvlLbl val="0"/>
      </c:catAx>
      <c:valAx>
        <c:axId val="1635818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Effectiveness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76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Core Metrics by Trainer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Dashboard!$B$13</c:f>
              <c:strCache>
                <c:ptCount val="1"/>
                <c:pt idx="0">
                  <c:v>L1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Dashboard!$A$14:$A$15</c:f>
              <c:strCache>
                <c:ptCount val="2"/>
                <c:pt idx="0">
                  <c:v>Nikita</c:v>
                </c:pt>
                <c:pt idx="1">
                  <c:v>Vandana</c:v>
                </c:pt>
              </c:strCache>
            </c:strRef>
          </c:cat>
          <c:val>
            <c:numRef>
              <c:f>Dashboard!$B$14:$B$15</c:f>
              <c:numCache>
                <c:formatCode>0.0%</c:formatCode>
                <c:ptCount val="2"/>
                <c:pt idx="0">
                  <c:v>0.92700000000000005</c:v>
                </c:pt>
                <c:pt idx="1">
                  <c:v>0.94799999999999995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07-4F2C-BB9E-B63B913EE688}"/>
            </c:ext>
          </c:extLst>
        </c:ser>
        <c:ser>
          <c:idx val="1"/>
          <c:order val="1"/>
          <c:tx>
            <c:strRef>
              <c:f>Dashboard!$C$13</c:f>
              <c:strCache>
                <c:ptCount val="1"/>
                <c:pt idx="0">
                  <c:v>TOF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Dashboard!$A$14:$A$15</c:f>
              <c:strCache>
                <c:ptCount val="2"/>
                <c:pt idx="0">
                  <c:v>Nikita</c:v>
                </c:pt>
                <c:pt idx="1">
                  <c:v>Vandana</c:v>
                </c:pt>
              </c:strCache>
            </c:strRef>
          </c:cat>
          <c:val>
            <c:numRef>
              <c:f>Dashboard!$C$14:$C$15</c:f>
              <c:numCache>
                <c:formatCode>0.0%</c:formatCode>
                <c:ptCount val="2"/>
                <c:pt idx="0">
                  <c:v>0.91500000000000004</c:v>
                </c:pt>
                <c:pt idx="1">
                  <c:v>0.86960000000000004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07-4F2C-BB9E-B63B913EE688}"/>
            </c:ext>
          </c:extLst>
        </c:ser>
        <c:ser>
          <c:idx val="2"/>
          <c:order val="2"/>
          <c:tx>
            <c:strRef>
              <c:f>Dashboard!$D$13</c:f>
              <c:strCache>
                <c:ptCount val="1"/>
                <c:pt idx="0">
                  <c:v>Throughput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Dashboard!$A$14:$A$15</c:f>
              <c:strCache>
                <c:ptCount val="2"/>
                <c:pt idx="0">
                  <c:v>Nikita</c:v>
                </c:pt>
                <c:pt idx="1">
                  <c:v>Vandana</c:v>
                </c:pt>
              </c:strCache>
            </c:strRef>
          </c:cat>
          <c:val>
            <c:numRef>
              <c:f>Dashboard!$D$14:$D$15</c:f>
              <c:numCache>
                <c:formatCode>0.0%</c:formatCode>
                <c:ptCount val="2"/>
                <c:pt idx="0">
                  <c:v>0.95499999999999996</c:v>
                </c:pt>
                <c:pt idx="1">
                  <c:v>0.9375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07-4F2C-BB9E-B63B913EE688}"/>
            </c:ext>
          </c:extLst>
        </c:ser>
        <c:ser>
          <c:idx val="3"/>
          <c:order val="3"/>
          <c:tx>
            <c:strRef>
              <c:f>Dashboard!$E$13</c:f>
              <c:strCache>
                <c:ptCount val="1"/>
                <c:pt idx="0">
                  <c:v>Utilization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Dashboard!$A$14:$A$15</c:f>
              <c:strCache>
                <c:ptCount val="2"/>
                <c:pt idx="0">
                  <c:v>Nikita</c:v>
                </c:pt>
                <c:pt idx="1">
                  <c:v>Vandana</c:v>
                </c:pt>
              </c:strCache>
            </c:strRef>
          </c:cat>
          <c:val>
            <c:numRef>
              <c:f>Dashboard!$E$14:$E$15</c:f>
              <c:numCache>
                <c:formatCode>0.0%</c:formatCode>
                <c:ptCount val="2"/>
                <c:pt idx="0">
                  <c:v>1.02</c:v>
                </c:pt>
                <c:pt idx="1">
                  <c:v>0.97430000000000005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07-4F2C-BB9E-B63B913EE688}"/>
            </c:ext>
          </c:extLst>
        </c:ser>
        <c:ser>
          <c:idx val="4"/>
          <c:order val="4"/>
          <c:tx>
            <c:strRef>
              <c:f>Dashboard!$F$13</c:f>
              <c:strCache>
                <c:ptCount val="1"/>
                <c:pt idx="0">
                  <c:v>Attendance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Dashboard!$A$14:$A$15</c:f>
              <c:strCache>
                <c:ptCount val="2"/>
                <c:pt idx="0">
                  <c:v>Nikita</c:v>
                </c:pt>
                <c:pt idx="1">
                  <c:v>Vandana</c:v>
                </c:pt>
              </c:strCache>
            </c:strRef>
          </c:cat>
          <c:val>
            <c:numRef>
              <c:f>Dashboard!$F$14:$F$15</c:f>
              <c:numCache>
                <c:formatCode>0.0%</c:formatCode>
                <c:ptCount val="2"/>
                <c:pt idx="0">
                  <c:v>1</c:v>
                </c:pt>
                <c:pt idx="1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07-4F2C-BB9E-B63B913EE6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783536"/>
        <c:axId val="1635835440"/>
      </c:barChart>
      <c:catAx>
        <c:axId val="937835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Trainer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835440"/>
        <c:crosses val="autoZero"/>
        <c:auto val="1"/>
        <c:lblAlgn val="ctr"/>
        <c:lblOffset val="100"/>
        <c:noMultiLvlLbl val="0"/>
      </c:catAx>
      <c:valAx>
        <c:axId val="163583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Score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83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2" name="Trainer Effectiveness">
          <a:extLst>
            <a:ext uri="{FF2B5EF4-FFF2-40B4-BE49-F238E27FC236}">
              <a16:creationId xmlns:a16="http://schemas.microsoft.com/office/drawing/2014/main" id="{C156B765-DBD2-EC94-5AAD-328E225B34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0</xdr:colOff>
      <xdr:row>34</xdr:row>
      <xdr:rowOff>0</xdr:rowOff>
    </xdr:to>
    <xdr:graphicFrame macro="">
      <xdr:nvGraphicFramePr>
        <xdr:cNvPr id="3" name="Metric Comparison">
          <a:extLst>
            <a:ext uri="{FF2B5EF4-FFF2-40B4-BE49-F238E27FC236}">
              <a16:creationId xmlns:a16="http://schemas.microsoft.com/office/drawing/2014/main" id="{695415A0-6A79-9B2C-568E-0EFBE9D082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D835F-269B-4FDB-8981-EE7B235B6B1F}">
  <dimension ref="A1:M16"/>
  <sheetViews>
    <sheetView workbookViewId="0">
      <selection activeCell="N6" sqref="N6"/>
    </sheetView>
  </sheetViews>
  <sheetFormatPr defaultRowHeight="14.5" x14ac:dyDescent="0.35"/>
  <cols>
    <col min="1" max="1" width="18.1796875" bestFit="1" customWidth="1"/>
    <col min="2" max="3" width="10.90625" customWidth="1"/>
    <col min="4" max="4" width="16.54296875" bestFit="1" customWidth="1"/>
    <col min="5" max="6" width="10.90625" customWidth="1"/>
    <col min="7" max="7" width="13.6328125" customWidth="1"/>
    <col min="8" max="8" width="8.1796875" customWidth="1"/>
    <col min="9" max="10" width="13.6328125" customWidth="1"/>
    <col min="11" max="11" width="10" customWidth="1"/>
    <col min="12" max="13" width="8.1796875" customWidth="1"/>
  </cols>
  <sheetData>
    <row r="1" spans="1:13" ht="48" customHeight="1" x14ac:dyDescent="0.35">
      <c r="A1" s="41" t="s">
        <v>13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r="2" spans="1:13" ht="24" customHeight="1" x14ac:dyDescent="0.35">
      <c r="A2" s="42" t="s">
        <v>14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</row>
    <row r="3" spans="1:13" ht="15" thickBot="1" x14ac:dyDescent="0.4"/>
    <row r="4" spans="1:13" ht="15" thickTop="1" x14ac:dyDescent="0.35">
      <c r="A4" s="3" t="s">
        <v>15</v>
      </c>
      <c r="B4" s="2"/>
      <c r="C4" s="2"/>
      <c r="D4" s="3" t="s">
        <v>16</v>
      </c>
      <c r="E4" s="2"/>
      <c r="F4" s="2"/>
      <c r="G4" s="3" t="s">
        <v>17</v>
      </c>
      <c r="H4" s="2"/>
      <c r="I4" s="2"/>
      <c r="J4" s="3" t="s">
        <v>18</v>
      </c>
      <c r="K4" s="2"/>
      <c r="L4" s="2"/>
      <c r="M4" s="2"/>
    </row>
    <row r="5" spans="1:13" ht="48" customHeight="1" x14ac:dyDescent="0.65">
      <c r="A5" s="38">
        <f>COUNTIF('Trainer Performance'!A2:A15,"&lt;&gt;")</f>
        <v>2</v>
      </c>
      <c r="B5" s="1"/>
      <c r="C5" s="1"/>
      <c r="D5" s="39">
        <f>AVERAGEIF('Trainer Performance'!A2:A15,"&lt;&gt;",'Trainer Performance'!H2:H15)</f>
        <v>0.93276250000000005</v>
      </c>
      <c r="E5" s="1"/>
      <c r="F5" s="1"/>
      <c r="G5" s="4">
        <f>COUNTIF('Trainer Performance'!I2:I15,"Effective")</f>
        <v>1</v>
      </c>
      <c r="H5" s="1"/>
      <c r="I5" s="1"/>
      <c r="J5" s="4">
        <f>COUNTIF('Trainer Performance'!I2:I15,"Needs Improvement")</f>
        <v>1</v>
      </c>
      <c r="K5" s="1"/>
      <c r="L5" s="1"/>
      <c r="M5" s="1"/>
    </row>
    <row r="6" spans="1:13" ht="36.5" x14ac:dyDescent="0.35">
      <c r="A6" s="5" t="s">
        <v>19</v>
      </c>
      <c r="B6" s="1"/>
      <c r="C6" s="1"/>
      <c r="D6" s="40" t="s">
        <v>20</v>
      </c>
      <c r="E6" s="1"/>
      <c r="F6" s="1"/>
      <c r="G6" s="5" t="s">
        <v>21</v>
      </c>
      <c r="H6" s="1"/>
      <c r="I6" s="1"/>
      <c r="J6" s="5" t="s">
        <v>22</v>
      </c>
      <c r="K6" s="1"/>
      <c r="L6" s="1"/>
      <c r="M6" s="1"/>
    </row>
    <row r="8" spans="1:13" x14ac:dyDescent="0.35">
      <c r="A8" s="43" t="str">
        <f>"The current view includes "&amp;COUNTIF('Trainer Performance'!A2:A15,"&lt;&gt;")&amp;" completed trainer records for "&amp;'Trainer Performance'!B2&amp;", with average effectiveness of "&amp;TEXT(AVERAGEIF('Trainer Performance'!A2:A15,"&lt;&gt;",'Trainer Performance'!H2:H15),"0.0%")&amp;". "&amp;INDEX('Trainer Performance'!A2:A15,MATCH(MAX('Trainer Performance'!H2:H15),'Trainer Performance'!H2:H15,0))&amp;" leads at "&amp;TEXT(MAX('Trainer Performance'!H2:H15),"0.0%")&amp;", while "&amp;COUNTIF('Trainer Performance'!I2:I15,"Needs Improvement")&amp;" trainer requires improvement. Attendance is the common priority in the current records; review TOF for trainers flagged below the threshold."</f>
        <v>The current view includes 2 completed trainer records for July, with average effectiveness of 93.3%. Nikita leads at 94.7%, while 1 trainer requires improvement. Attendance is the common priority in the current records; review TOF for trainers flagged below the threshold.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</row>
    <row r="9" spans="1:13" x14ac:dyDescent="0.35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</row>
    <row r="10" spans="1:13" x14ac:dyDescent="0.35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</row>
    <row r="12" spans="1:13" ht="24" customHeight="1" x14ac:dyDescent="0.4">
      <c r="A12" s="44" t="s">
        <v>23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</row>
    <row r="13" spans="1:13" x14ac:dyDescent="0.35">
      <c r="A13" s="6" t="s">
        <v>24</v>
      </c>
      <c r="B13" s="6" t="s">
        <v>25</v>
      </c>
      <c r="C13" s="6" t="s">
        <v>10</v>
      </c>
      <c r="D13" s="6" t="s">
        <v>9</v>
      </c>
      <c r="E13" s="6" t="s">
        <v>26</v>
      </c>
      <c r="F13" s="6" t="s">
        <v>7</v>
      </c>
      <c r="G13" s="6" t="s">
        <v>27</v>
      </c>
      <c r="I13" s="6" t="s">
        <v>3</v>
      </c>
      <c r="J13" s="6" t="s">
        <v>28</v>
      </c>
      <c r="K13" s="6" t="s">
        <v>29</v>
      </c>
    </row>
    <row r="14" spans="1:13" x14ac:dyDescent="0.35">
      <c r="A14" s="7" t="str">
        <f>'Trainer Performance'!A2</f>
        <v>Nikita</v>
      </c>
      <c r="B14" s="8">
        <f>'Trainer Performance'!C2</f>
        <v>0.92700000000000005</v>
      </c>
      <c r="C14" s="8">
        <f>'Trainer Performance'!D2</f>
        <v>0.91500000000000004</v>
      </c>
      <c r="D14" s="8">
        <f>'Trainer Performance'!E2</f>
        <v>0.95499999999999996</v>
      </c>
      <c r="E14" s="8">
        <f>'Trainer Performance'!F2</f>
        <v>1.02</v>
      </c>
      <c r="F14" s="8">
        <f>'Trainer Performance'!G2</f>
        <v>1</v>
      </c>
      <c r="G14" s="8">
        <f>'Trainer Performance'!H2</f>
        <v>0.94660000000000011</v>
      </c>
      <c r="I14" s="11" t="s">
        <v>30</v>
      </c>
      <c r="J14" s="12">
        <f>COUNTIF('Trainer Performance'!I2:I15,I14)</f>
        <v>1</v>
      </c>
      <c r="K14" s="13">
        <f>IFERROR(J14/$A$5,0)</f>
        <v>0.5</v>
      </c>
    </row>
    <row r="15" spans="1:13" x14ac:dyDescent="0.35">
      <c r="A15" s="9" t="str">
        <f>'Trainer Performance'!A3</f>
        <v>Vandana</v>
      </c>
      <c r="B15" s="10">
        <f>'Trainer Performance'!C3</f>
        <v>0.94799999999999995</v>
      </c>
      <c r="C15" s="10">
        <f>'Trainer Performance'!D3</f>
        <v>0.86960000000000004</v>
      </c>
      <c r="D15" s="10">
        <f>'Trainer Performance'!E3</f>
        <v>0.9375</v>
      </c>
      <c r="E15" s="10">
        <f>'Trainer Performance'!F3</f>
        <v>0.97430000000000005</v>
      </c>
      <c r="F15" s="10">
        <f>'Trainer Performance'!G3</f>
        <v>0.8</v>
      </c>
      <c r="G15" s="10">
        <f>'Trainer Performance'!H3</f>
        <v>0.91892499999999999</v>
      </c>
      <c r="I15" s="14" t="s">
        <v>31</v>
      </c>
      <c r="J15" s="15">
        <f>COUNTIF('Trainer Performance'!I2:I15,I15)</f>
        <v>0</v>
      </c>
      <c r="K15" s="16">
        <f>IFERROR(J15/$A$5,0)</f>
        <v>0</v>
      </c>
    </row>
    <row r="16" spans="1:13" x14ac:dyDescent="0.35">
      <c r="I16" s="17" t="s">
        <v>32</v>
      </c>
      <c r="J16" s="18">
        <f>COUNTIF('Trainer Performance'!I2:I15,I16)</f>
        <v>1</v>
      </c>
      <c r="K16" s="19">
        <f>IFERROR(J16/$A$5,0)</f>
        <v>0.5</v>
      </c>
    </row>
  </sheetData>
  <mergeCells count="4">
    <mergeCell ref="A1:M1"/>
    <mergeCell ref="A2:M2"/>
    <mergeCell ref="A8:M10"/>
    <mergeCell ref="A12:M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DBE08-3BDE-4851-B8ED-2E89EE803E5B}">
  <dimension ref="A1:J15"/>
  <sheetViews>
    <sheetView tabSelected="1" workbookViewId="0">
      <selection activeCell="H2" sqref="H2"/>
    </sheetView>
  </sheetViews>
  <sheetFormatPr defaultRowHeight="14.5" x14ac:dyDescent="0.35"/>
  <cols>
    <col min="1" max="1" width="17.26953125" customWidth="1"/>
    <col min="2" max="2" width="10.90625" customWidth="1"/>
    <col min="3" max="3" width="13.6328125" customWidth="1"/>
    <col min="4" max="4" width="11.81640625" customWidth="1"/>
    <col min="5" max="5" width="13.6328125" customWidth="1"/>
    <col min="6" max="6" width="15.453125" customWidth="1"/>
    <col min="7" max="7" width="13.6328125" customWidth="1"/>
    <col min="8" max="9" width="19.08984375" customWidth="1"/>
    <col min="10" max="10" width="26.36328125" customWidth="1"/>
  </cols>
  <sheetData>
    <row r="1" spans="1:10" ht="30" customHeight="1" x14ac:dyDescent="0.35">
      <c r="A1" s="20" t="s">
        <v>0</v>
      </c>
      <c r="B1" s="21" t="s">
        <v>11</v>
      </c>
      <c r="C1" s="21" t="s">
        <v>1</v>
      </c>
      <c r="D1" s="21" t="s">
        <v>10</v>
      </c>
      <c r="E1" s="21" t="s">
        <v>9</v>
      </c>
      <c r="F1" s="21" t="s">
        <v>8</v>
      </c>
      <c r="G1" s="21" t="s">
        <v>7</v>
      </c>
      <c r="H1" s="21" t="s">
        <v>2</v>
      </c>
      <c r="I1" s="21" t="s">
        <v>3</v>
      </c>
      <c r="J1" s="22" t="s">
        <v>12</v>
      </c>
    </row>
    <row r="2" spans="1:10" x14ac:dyDescent="0.35">
      <c r="A2" s="23" t="s">
        <v>4</v>
      </c>
      <c r="B2" s="24" t="s">
        <v>5</v>
      </c>
      <c r="C2" s="25">
        <v>0.92700000000000005</v>
      </c>
      <c r="D2" s="25">
        <v>0.91500000000000004</v>
      </c>
      <c r="E2" s="25">
        <v>0.95499999999999996</v>
      </c>
      <c r="F2" s="25">
        <v>1.02</v>
      </c>
      <c r="G2" s="25">
        <v>1</v>
      </c>
      <c r="H2" s="26">
        <f>IF(COUNT(C2:G2)&lt;5,"",C2*30%+D2*30%+E2*20%+F2*15%+G2*5%)</f>
        <v>0.94660000000000011</v>
      </c>
      <c r="I2" s="27" t="str">
        <f>IF(COUNT(C2:G2)&lt;5,"Pending Data",IF(OR(C2&lt;88%,D2&lt;88%,E2&lt;90%),"Needs Improvement",IF(H2&gt;90%,"Effective",IF(H2&gt;=85%,"Satisfactory","Needs Improvement"))))</f>
        <v>Effective</v>
      </c>
      <c r="J2" s="36" t="str">
        <f>IF(COUNT(C2:G2)&lt;5,"Pending Data",IF(_xlfn.TEXTJOIN(", ",TRUE,IF(C2&lt;88%,"L1 Score",""),IF(D2&lt;88%,"TOF",""),IF(E2&lt;90%,"Throughput",""),IF(F2&lt;90%,"Utilization",""),IF(G2&lt;95%,"Attendance",""))="","No Improvement Required",_xlfn.TEXTJOIN(", ",TRUE,IF(C2&lt;88%,"L1 Score",""),IF(D2&lt;88%,"TOF",""),IF(E2&lt;90%,"Throughput",""),IF(F2&lt;90%,"Utilization",""),IF(G2&lt;95%,"Attendance",""))))</f>
        <v>No Improvement Required</v>
      </c>
    </row>
    <row r="3" spans="1:10" x14ac:dyDescent="0.35">
      <c r="A3" s="23" t="s">
        <v>6</v>
      </c>
      <c r="B3" s="24" t="s">
        <v>5</v>
      </c>
      <c r="C3" s="25">
        <v>0.94799999999999995</v>
      </c>
      <c r="D3" s="25">
        <v>0.86960000000000004</v>
      </c>
      <c r="E3" s="25">
        <v>0.9375</v>
      </c>
      <c r="F3" s="25">
        <v>0.97430000000000005</v>
      </c>
      <c r="G3" s="25">
        <v>0.8</v>
      </c>
      <c r="H3" s="26">
        <f t="shared" ref="H3:H15" si="0">IF(COUNT(C3:G3)&lt;5,"",C3*30%+D3*30%+E3*20%+F3*15%+G3*5%)</f>
        <v>0.91892499999999999</v>
      </c>
      <c r="I3" s="27" t="str">
        <f>IF(COUNT(C3:G3)&lt;5,"Pending Data",IF(OR(C3&lt;88%,D3&lt;88%,E3&lt;90%),"Needs Improvement",IF(H3&gt;90%,"Effective",IF(H3&gt;=85%,"Satisfactory","Needs Improvement"))))</f>
        <v>Needs Improvement</v>
      </c>
      <c r="J3" s="36" t="str">
        <f t="shared" ref="J3:J15" si="1">IF(COUNT(C3:G3)&lt;5,"Pending Data",IF(_xlfn.TEXTJOIN(", ",TRUE,IF(C3&lt;88%,"L1 Score",""),IF(D3&lt;88%,"TOF",""),IF(E3&lt;90%,"Throughput",""),IF(F3&lt;90%,"Utilization",""),IF(G3&lt;95%,"Attendance",""))="","No Improvement Required",_xlfn.TEXTJOIN(", ",TRUE,IF(C3&lt;88%,"L1 Score",""),IF(D3&lt;88%,"TOF",""),IF(E3&lt;90%,"Throughput",""),IF(F3&lt;90%,"Utilization",""),IF(G3&lt;95%,"Attendance",""))))</f>
        <v>TOF, Attendance</v>
      </c>
    </row>
    <row r="4" spans="1:10" x14ac:dyDescent="0.35">
      <c r="A4" s="23"/>
      <c r="B4" s="24"/>
      <c r="C4" s="25"/>
      <c r="D4" s="25"/>
      <c r="E4" s="25"/>
      <c r="F4" s="25"/>
      <c r="G4" s="25"/>
      <c r="H4" s="26" t="str">
        <f t="shared" si="0"/>
        <v/>
      </c>
      <c r="I4" s="27" t="str">
        <f t="shared" ref="I4:I15" si="2">IF(COUNT(C4:G4)&lt;5,"Pending Data",IF(OR(C4&lt;88%,D4&lt;88%,E4&lt;90%),"Needs Improvement",IF(H4&gt;90%,"Effective",IF(H4&gt;=85%,"Satisfactory","Needs Improvement"))))</f>
        <v>Pending Data</v>
      </c>
      <c r="J4" s="36" t="str">
        <f t="shared" si="1"/>
        <v>Pending Data</v>
      </c>
    </row>
    <row r="5" spans="1:10" x14ac:dyDescent="0.35">
      <c r="A5" s="23"/>
      <c r="B5" s="24"/>
      <c r="C5" s="25"/>
      <c r="D5" s="25"/>
      <c r="E5" s="25"/>
      <c r="F5" s="25"/>
      <c r="G5" s="25"/>
      <c r="H5" s="26" t="str">
        <f t="shared" si="0"/>
        <v/>
      </c>
      <c r="I5" s="27" t="str">
        <f t="shared" si="2"/>
        <v>Pending Data</v>
      </c>
      <c r="J5" s="36" t="str">
        <f t="shared" si="1"/>
        <v>Pending Data</v>
      </c>
    </row>
    <row r="6" spans="1:10" x14ac:dyDescent="0.35">
      <c r="A6" s="23"/>
      <c r="B6" s="24"/>
      <c r="C6" s="25"/>
      <c r="D6" s="25"/>
      <c r="E6" s="25"/>
      <c r="F6" s="25"/>
      <c r="G6" s="25"/>
      <c r="H6" s="26" t="str">
        <f t="shared" si="0"/>
        <v/>
      </c>
      <c r="I6" s="27" t="str">
        <f t="shared" si="2"/>
        <v>Pending Data</v>
      </c>
      <c r="J6" s="36" t="str">
        <f t="shared" si="1"/>
        <v>Pending Data</v>
      </c>
    </row>
    <row r="7" spans="1:10" x14ac:dyDescent="0.35">
      <c r="A7" s="28"/>
      <c r="B7" s="29"/>
      <c r="C7" s="30"/>
      <c r="D7" s="30"/>
      <c r="E7" s="30"/>
      <c r="F7" s="30"/>
      <c r="G7" s="30"/>
      <c r="H7" s="26" t="str">
        <f t="shared" si="0"/>
        <v/>
      </c>
      <c r="I7" s="27" t="str">
        <f t="shared" si="2"/>
        <v>Pending Data</v>
      </c>
      <c r="J7" s="36" t="str">
        <f t="shared" si="1"/>
        <v>Pending Data</v>
      </c>
    </row>
    <row r="8" spans="1:10" x14ac:dyDescent="0.35">
      <c r="A8" s="28"/>
      <c r="B8" s="29"/>
      <c r="C8" s="30"/>
      <c r="D8" s="30"/>
      <c r="E8" s="30"/>
      <c r="F8" s="30"/>
      <c r="G8" s="30"/>
      <c r="H8" s="26" t="str">
        <f t="shared" si="0"/>
        <v/>
      </c>
      <c r="I8" s="27" t="str">
        <f t="shared" si="2"/>
        <v>Pending Data</v>
      </c>
      <c r="J8" s="36" t="str">
        <f t="shared" si="1"/>
        <v>Pending Data</v>
      </c>
    </row>
    <row r="9" spans="1:10" x14ac:dyDescent="0.35">
      <c r="A9" s="28"/>
      <c r="B9" s="29"/>
      <c r="C9" s="30"/>
      <c r="D9" s="30"/>
      <c r="E9" s="30"/>
      <c r="F9" s="30"/>
      <c r="G9" s="30"/>
      <c r="H9" s="26" t="str">
        <f t="shared" si="0"/>
        <v/>
      </c>
      <c r="I9" s="27" t="str">
        <f t="shared" si="2"/>
        <v>Pending Data</v>
      </c>
      <c r="J9" s="36" t="str">
        <f t="shared" si="1"/>
        <v>Pending Data</v>
      </c>
    </row>
    <row r="10" spans="1:10" x14ac:dyDescent="0.35">
      <c r="A10" s="28"/>
      <c r="B10" s="29"/>
      <c r="C10" s="30"/>
      <c r="D10" s="30"/>
      <c r="E10" s="30"/>
      <c r="F10" s="30"/>
      <c r="G10" s="30"/>
      <c r="H10" s="26" t="str">
        <f t="shared" si="0"/>
        <v/>
      </c>
      <c r="I10" s="27" t="str">
        <f t="shared" si="2"/>
        <v>Pending Data</v>
      </c>
      <c r="J10" s="36" t="str">
        <f t="shared" si="1"/>
        <v>Pending Data</v>
      </c>
    </row>
    <row r="11" spans="1:10" x14ac:dyDescent="0.35">
      <c r="A11" s="28"/>
      <c r="B11" s="29"/>
      <c r="C11" s="30"/>
      <c r="D11" s="30"/>
      <c r="E11" s="30"/>
      <c r="F11" s="30"/>
      <c r="G11" s="30"/>
      <c r="H11" s="26" t="str">
        <f t="shared" si="0"/>
        <v/>
      </c>
      <c r="I11" s="27" t="str">
        <f t="shared" si="2"/>
        <v>Pending Data</v>
      </c>
      <c r="J11" s="36" t="str">
        <f t="shared" si="1"/>
        <v>Pending Data</v>
      </c>
    </row>
    <row r="12" spans="1:10" x14ac:dyDescent="0.35">
      <c r="A12" s="28"/>
      <c r="B12" s="29"/>
      <c r="C12" s="30"/>
      <c r="D12" s="30"/>
      <c r="E12" s="30"/>
      <c r="F12" s="30"/>
      <c r="G12" s="30"/>
      <c r="H12" s="26" t="str">
        <f t="shared" si="0"/>
        <v/>
      </c>
      <c r="I12" s="27" t="str">
        <f t="shared" si="2"/>
        <v>Pending Data</v>
      </c>
      <c r="J12" s="36" t="str">
        <f t="shared" si="1"/>
        <v>Pending Data</v>
      </c>
    </row>
    <row r="13" spans="1:10" x14ac:dyDescent="0.35">
      <c r="A13" s="28"/>
      <c r="B13" s="29"/>
      <c r="C13" s="30"/>
      <c r="D13" s="30"/>
      <c r="E13" s="30"/>
      <c r="F13" s="30"/>
      <c r="G13" s="30"/>
      <c r="H13" s="26" t="str">
        <f t="shared" si="0"/>
        <v/>
      </c>
      <c r="I13" s="27" t="str">
        <f t="shared" si="2"/>
        <v>Pending Data</v>
      </c>
      <c r="J13" s="36" t="str">
        <f t="shared" si="1"/>
        <v>Pending Data</v>
      </c>
    </row>
    <row r="14" spans="1:10" x14ac:dyDescent="0.35">
      <c r="A14" s="28"/>
      <c r="B14" s="29"/>
      <c r="C14" s="30"/>
      <c r="D14" s="30"/>
      <c r="E14" s="30"/>
      <c r="F14" s="30"/>
      <c r="G14" s="30"/>
      <c r="H14" s="26" t="str">
        <f t="shared" si="0"/>
        <v/>
      </c>
      <c r="I14" s="27" t="str">
        <f t="shared" si="2"/>
        <v>Pending Data</v>
      </c>
      <c r="J14" s="36" t="str">
        <f t="shared" si="1"/>
        <v>Pending Data</v>
      </c>
    </row>
    <row r="15" spans="1:10" x14ac:dyDescent="0.35">
      <c r="A15" s="31"/>
      <c r="B15" s="32"/>
      <c r="C15" s="33"/>
      <c r="D15" s="33"/>
      <c r="E15" s="33"/>
      <c r="F15" s="33"/>
      <c r="G15" s="33"/>
      <c r="H15" s="34" t="str">
        <f t="shared" si="0"/>
        <v/>
      </c>
      <c r="I15" s="35" t="str">
        <f t="shared" si="2"/>
        <v>Pending Data</v>
      </c>
      <c r="J15" s="37" t="str">
        <f t="shared" si="1"/>
        <v>Pending Data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Trainer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Gagan Gaggar</dc:creator>
  <cp:lastModifiedBy>Gagan Gaggar</cp:lastModifiedBy>
  <dcterms:created xsi:type="dcterms:W3CDTF">2026-08-13T20:03:29Z</dcterms:created>
  <dcterms:modified xsi:type="dcterms:W3CDTF">2026-08-14T18:40:20Z</dcterms:modified>
</cp:coreProperties>
</file>